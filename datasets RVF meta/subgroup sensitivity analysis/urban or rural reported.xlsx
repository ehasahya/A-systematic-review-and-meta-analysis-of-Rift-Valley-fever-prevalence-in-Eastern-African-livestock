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720" windowHeight="13260"/>
  </bookViews>
  <sheets>
    <sheet name="Sheet1" sheetId="1" r:id="rId1"/>
  </sheets>
  <definedNames>
    <definedName name="_xlnm._FilterDatabase" localSheetId="0" hidden="1">Sheet1!$A$1:$F$23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<sst xmlns="http://schemas.openxmlformats.org/spreadsheetml/2006/main" count="94" uniqueCount="24">
  <si>
    <t>Author</t>
  </si>
  <si>
    <t>urban_or_rural_reported</t>
  </si>
  <si>
    <t>Species</t>
  </si>
  <si>
    <t>Cases</t>
  </si>
  <si>
    <t>SampleSize</t>
  </si>
  <si>
    <t>Test</t>
  </si>
  <si>
    <t>Asebe 2020</t>
  </si>
  <si>
    <t>rural</t>
  </si>
  <si>
    <t>cattle</t>
  </si>
  <si>
    <t>IgG</t>
  </si>
  <si>
    <t>Bett 2018</t>
  </si>
  <si>
    <t>small ruminants</t>
  </si>
  <si>
    <t>Budasha 2018</t>
  </si>
  <si>
    <t>Fèvre 2017</t>
  </si>
  <si>
    <t>Gerken 2024</t>
  </si>
  <si>
    <t>Kifaro 2014</t>
  </si>
  <si>
    <t>Lysholm 2022a</t>
  </si>
  <si>
    <t>Megenas 2024</t>
  </si>
  <si>
    <t>Nanyingi 2017</t>
  </si>
  <si>
    <t>Ndengu 2020</t>
  </si>
  <si>
    <t>Nyakarahuka 2018</t>
  </si>
  <si>
    <t>Oakley 2024</t>
  </si>
  <si>
    <t>Sindato 2022</t>
  </si>
  <si>
    <t>urban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</si>
</sst>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sz val="1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Font="1" applyFill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tabSelected="1" workbookViewId="0">
      <selection activeCell="G18" sqref="G18"/>
    </sheetView>
  </sheetViews>
  <sheetFormatPr defaultColWidth="9" defaultRowHeight="13.5" outlineLevelCol="5"/>
  <cols>
    <col min="1" max="1" width="16.8833333333333" style="1" customWidth="1"/>
    <col min="2" max="16384" width="9" style="1"/>
  </cols>
  <sheetData>
    <row r="1" ht="14.25" spans="1:6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2" t="s">
        <v>5</v>
      </c>
    </row>
    <row r="2" spans="1:6">
      <c r="A2" s="5" t="s">
        <v>6</v>
      </c>
      <c r="B2" s="3" t="s">
        <v>7</v>
      </c>
      <c r="C2" s="2" t="s">
        <v>8</v>
      </c>
      <c r="D2" s="6">
        <v>28</v>
      </c>
      <c r="E2" s="6">
        <v>368</v>
      </c>
      <c r="F2" s="2" t="s">
        <v>9</v>
      </c>
    </row>
    <row r="3" spans="1:6">
      <c r="A3" s="5" t="s">
        <v>10</v>
      </c>
      <c r="B3" s="3" t="s">
        <v>7</v>
      </c>
      <c r="C3" s="2" t="s">
        <v>8</v>
      </c>
      <c r="D3" s="2">
        <v>117</v>
      </c>
      <c r="E3" s="2">
        <v>450</v>
      </c>
      <c r="F3" s="2" t="s">
        <v>9</v>
      </c>
    </row>
    <row r="4" spans="1:6">
      <c r="A4" s="5" t="s">
        <v>10</v>
      </c>
      <c r="B4" s="3" t="s">
        <v>7</v>
      </c>
      <c r="C4" s="2" t="s">
        <v>11</v>
      </c>
      <c r="D4" s="2">
        <f>145+240</f>
        <v>385</v>
      </c>
      <c r="E4" s="2">
        <f>558+924</f>
        <v>1482</v>
      </c>
      <c r="F4" s="2" t="s">
        <v>9</v>
      </c>
    </row>
    <row r="5" spans="1:6">
      <c r="A5" s="5" t="s">
        <v>12</v>
      </c>
      <c r="B5" s="3" t="s">
        <v>7</v>
      </c>
      <c r="C5" s="2" t="s">
        <v>8</v>
      </c>
      <c r="D5" s="6">
        <v>70</v>
      </c>
      <c r="E5" s="6">
        <v>341</v>
      </c>
      <c r="F5" s="2" t="s">
        <v>9</v>
      </c>
    </row>
    <row r="6" spans="1:6">
      <c r="A6" s="5" t="s">
        <v>12</v>
      </c>
      <c r="B6" s="3" t="s">
        <v>7</v>
      </c>
      <c r="C6" s="2" t="s">
        <v>11</v>
      </c>
      <c r="D6" s="6">
        <v>34</v>
      </c>
      <c r="E6" s="6">
        <v>659</v>
      </c>
      <c r="F6" s="2" t="s">
        <v>9</v>
      </c>
    </row>
    <row r="7" spans="1:6">
      <c r="A7" s="2" t="s">
        <v>13</v>
      </c>
      <c r="B7" s="3" t="s">
        <v>7</v>
      </c>
      <c r="C7" s="2" t="s">
        <v>8</v>
      </c>
      <c r="D7" s="6">
        <v>49</v>
      </c>
      <c r="E7" s="6">
        <v>983</v>
      </c>
      <c r="F7" s="2" t="s">
        <v>9</v>
      </c>
    </row>
    <row r="8" spans="1:6">
      <c r="A8" s="2" t="s">
        <v>14</v>
      </c>
      <c r="B8" s="3" t="s">
        <v>7</v>
      </c>
      <c r="C8" s="2" t="s">
        <v>11</v>
      </c>
      <c r="D8" s="6">
        <v>14</v>
      </c>
      <c r="E8" s="6">
        <v>598</v>
      </c>
      <c r="F8" s="2" t="s">
        <v>9</v>
      </c>
    </row>
    <row r="9" spans="1:6">
      <c r="A9" s="2" t="s">
        <v>14</v>
      </c>
      <c r="B9" s="3" t="s">
        <v>7</v>
      </c>
      <c r="C9" s="2" t="s">
        <v>8</v>
      </c>
      <c r="D9" s="6">
        <v>64</v>
      </c>
      <c r="E9" s="6">
        <v>325</v>
      </c>
      <c r="F9" s="2" t="s">
        <v>9</v>
      </c>
    </row>
    <row r="10" spans="1:6">
      <c r="A10" s="2" t="s">
        <v>15</v>
      </c>
      <c r="B10" s="3" t="s">
        <v>7</v>
      </c>
      <c r="C10" s="2" t="s">
        <v>11</v>
      </c>
      <c r="D10" s="6">
        <v>22</v>
      </c>
      <c r="E10" s="6">
        <v>411</v>
      </c>
      <c r="F10" s="2" t="s">
        <v>9</v>
      </c>
    </row>
    <row r="11" spans="1:6">
      <c r="A11" s="5" t="s">
        <v>16</v>
      </c>
      <c r="B11" s="3" t="s">
        <v>7</v>
      </c>
      <c r="C11" s="2" t="s">
        <v>11</v>
      </c>
      <c r="D11" s="6">
        <f>0+1+1</f>
        <v>2</v>
      </c>
      <c r="E11" s="6">
        <f>40+40+40+40+40+40+40</f>
        <v>280</v>
      </c>
      <c r="F11" s="2" t="s">
        <v>9</v>
      </c>
    </row>
    <row r="12" spans="1:6">
      <c r="A12" s="2" t="s">
        <v>17</v>
      </c>
      <c r="B12" s="3" t="s">
        <v>7</v>
      </c>
      <c r="C12" s="2" t="s">
        <v>11</v>
      </c>
      <c r="D12" s="6">
        <v>82</v>
      </c>
      <c r="E12" s="6">
        <v>265</v>
      </c>
      <c r="F12" s="2" t="s">
        <v>9</v>
      </c>
    </row>
    <row r="13" spans="1:6">
      <c r="A13" s="5" t="s">
        <v>18</v>
      </c>
      <c r="B13" s="3" t="s">
        <v>7</v>
      </c>
      <c r="C13" s="2" t="s">
        <v>11</v>
      </c>
      <c r="D13" s="6">
        <v>141</v>
      </c>
      <c r="E13" s="6">
        <v>358</v>
      </c>
      <c r="F13" s="2" t="s">
        <v>9</v>
      </c>
    </row>
    <row r="14" spans="1:6">
      <c r="A14" s="5" t="s">
        <v>18</v>
      </c>
      <c r="B14" s="3" t="s">
        <v>7</v>
      </c>
      <c r="C14" s="2" t="s">
        <v>8</v>
      </c>
      <c r="D14" s="6">
        <v>4</v>
      </c>
      <c r="E14" s="6">
        <v>12</v>
      </c>
      <c r="F14" s="2" t="s">
        <v>9</v>
      </c>
    </row>
    <row r="15" spans="1:6">
      <c r="A15" s="5" t="s">
        <v>19</v>
      </c>
      <c r="B15" s="3" t="s">
        <v>7</v>
      </c>
      <c r="C15" s="2" t="s">
        <v>8</v>
      </c>
      <c r="D15" s="6">
        <v>17</v>
      </c>
      <c r="E15" s="6">
        <v>1011</v>
      </c>
      <c r="F15" s="2" t="s">
        <v>9</v>
      </c>
    </row>
    <row r="16" spans="1:6">
      <c r="A16" s="2" t="s">
        <v>20</v>
      </c>
      <c r="B16" s="3" t="s">
        <v>7</v>
      </c>
      <c r="C16" s="2" t="s">
        <v>11</v>
      </c>
      <c r="D16" s="7">
        <f>7+40</f>
        <v>47</v>
      </c>
      <c r="E16" s="7">
        <f>158+569</f>
        <v>727</v>
      </c>
      <c r="F16" s="2" t="s">
        <v>9</v>
      </c>
    </row>
    <row r="17" spans="1:6">
      <c r="A17" s="2" t="s">
        <v>20</v>
      </c>
      <c r="B17" s="3" t="s">
        <v>7</v>
      </c>
      <c r="C17" s="2" t="s">
        <v>8</v>
      </c>
      <c r="D17" s="6">
        <v>86</v>
      </c>
      <c r="E17" s="6">
        <v>324</v>
      </c>
      <c r="F17" s="2" t="s">
        <v>9</v>
      </c>
    </row>
    <row r="18" spans="1:6">
      <c r="A18" s="2" t="s">
        <v>21</v>
      </c>
      <c r="B18" s="3" t="s">
        <v>7</v>
      </c>
      <c r="C18" s="2" t="s">
        <v>11</v>
      </c>
      <c r="D18" s="6">
        <v>25</v>
      </c>
      <c r="E18" s="6">
        <v>883</v>
      </c>
      <c r="F18" s="2" t="s">
        <v>9</v>
      </c>
    </row>
    <row r="19" spans="1:6">
      <c r="A19" s="2" t="s">
        <v>21</v>
      </c>
      <c r="B19" s="3" t="s">
        <v>7</v>
      </c>
      <c r="C19" s="2" t="s">
        <v>8</v>
      </c>
      <c r="D19" s="6">
        <v>32</v>
      </c>
      <c r="E19" s="6">
        <v>236</v>
      </c>
      <c r="F19" s="2" t="s">
        <v>9</v>
      </c>
    </row>
    <row r="20" spans="1:6">
      <c r="A20" s="5" t="s">
        <v>22</v>
      </c>
      <c r="B20" s="3" t="s">
        <v>7</v>
      </c>
      <c r="C20" s="2" t="s">
        <v>8</v>
      </c>
      <c r="D20" s="6">
        <v>36</v>
      </c>
      <c r="E20" s="6">
        <v>145</v>
      </c>
      <c r="F20" s="2" t="s">
        <v>9</v>
      </c>
    </row>
    <row r="21" spans="1:6">
      <c r="A21" s="5" t="s">
        <v>22</v>
      </c>
      <c r="B21" s="3" t="s">
        <v>7</v>
      </c>
      <c r="C21" s="2" t="s">
        <v>11</v>
      </c>
      <c r="D21" s="6">
        <v>2</v>
      </c>
      <c r="E21" s="6">
        <v>135</v>
      </c>
      <c r="F21" s="2" t="s">
        <v>9</v>
      </c>
    </row>
    <row r="22" spans="1:6">
      <c r="A22" s="5" t="s">
        <v>22</v>
      </c>
      <c r="B22" s="3" t="s">
        <v>23</v>
      </c>
      <c r="C22" s="2" t="s">
        <v>8</v>
      </c>
      <c r="D22" s="6">
        <v>5</v>
      </c>
      <c r="E22" s="6">
        <v>111</v>
      </c>
      <c r="F22" s="2" t="s">
        <v>9</v>
      </c>
    </row>
    <row r="23" spans="1:6">
      <c r="A23" s="5" t="s">
        <v>22</v>
      </c>
      <c r="B23" s="3" t="s">
        <v>23</v>
      </c>
      <c r="C23" s="2" t="s">
        <v>11</v>
      </c>
      <c r="D23" s="6">
        <v>2</v>
      </c>
      <c r="E23" s="6">
        <v>111</v>
      </c>
      <c r="F23" s="2" t="s">
        <v>9</v>
      </c>
    </row>
  </sheetData>
  <autoFilter xmlns:etc="http://www.wps.cn/officeDocument/2017/etCustomData" ref="A1:F2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Hasahya</dc:creator>
  <cp:lastModifiedBy>emmanuel hasahya</cp:lastModifiedBy>
  <dcterms:created xsi:type="dcterms:W3CDTF">2026-09-22T12:08:00Z</dcterms:created>
  <dcterms:modified xsi:type="dcterms:W3CDTF">2026-10-23T06:50:45Z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9C7F60CFBD324808ABAFC0FFF709B6D4_12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