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30720" windowHeight="13260"/>
  </bookViews>
  <sheets>
    <sheet name="Sheet1" sheetId="1" r:id="rId1"/>
  </sheets>
  <definedNames>
    <definedName name="_xlnm._FilterDatabase" localSheetId="0" hidden="1">Sheet1!$A$1:$F$39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<sst xmlns="http://schemas.openxmlformats.org/spreadsheetml/2006/main" count="158" uniqueCount="39">
  <si>
    <t>Author</t>
  </si>
  <si>
    <t>Parks_reported</t>
  </si>
  <si>
    <t>Species</t>
  </si>
  <si>
    <t>Cases</t>
  </si>
  <si>
    <t>SampleSize</t>
  </si>
  <si>
    <t>Test</t>
  </si>
  <si>
    <t>Aceng 2023</t>
  </si>
  <si>
    <t>no</t>
  </si>
  <si>
    <t>cattle</t>
  </si>
  <si>
    <t>IgG</t>
  </si>
  <si>
    <t>Asebe 2020</t>
  </si>
  <si>
    <t>Bett 2018</t>
  </si>
  <si>
    <t>small ruminants</t>
  </si>
  <si>
    <t>Budasha 2018</t>
  </si>
  <si>
    <t>yes</t>
  </si>
  <si>
    <t>Chambaro 2020</t>
  </si>
  <si>
    <t>Chiuya 2024</t>
  </si>
  <si>
    <t>Endale 2021</t>
  </si>
  <si>
    <t>Fèvre 2017</t>
  </si>
  <si>
    <t>Gerken 2024</t>
  </si>
  <si>
    <t>Harimanana 2024</t>
  </si>
  <si>
    <t>Ibrahim 2021</t>
  </si>
  <si>
    <t>Kifaro 2014</t>
  </si>
  <si>
    <t>Lwande 2015</t>
  </si>
  <si>
    <t>Lysholm 2022a</t>
  </si>
  <si>
    <t>Lysholm 2022b</t>
  </si>
  <si>
    <t>Matiko 2018</t>
  </si>
  <si>
    <t>Megenas 2024</t>
  </si>
  <si>
    <t>Muturi 2023</t>
  </si>
  <si>
    <t>Nanyingi 2017</t>
  </si>
  <si>
    <t>Ndengu 2020</t>
  </si>
  <si>
    <t>Ndumu 2021</t>
  </si>
  <si>
    <t>Nyakarahuka 2018</t>
  </si>
  <si>
    <t>Oakley 2024</t>
  </si>
  <si>
    <t>Owange 2014</t>
  </si>
  <si>
    <t>Oyas 2018</t>
  </si>
  <si>
    <t>Salekwa 2019</t>
  </si>
  <si>
    <t>Sindato 2022</t>
  </si>
  <si>
    <t>Umuhoza 2017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</si>
</sst>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Aptos Narrow"/>
      <charset val="134"/>
      <scheme val="minor"/>
    </font>
    <font>
      <sz val="11"/>
      <name val="Aptos Narrow"/>
      <charset val="134"/>
      <scheme val="minor"/>
    </font>
    <font>
      <sz val="11"/>
      <name val="Calibri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1" fillId="0" borderId="0" xfId="0" applyFont="1" applyFill="1"/>
    <xf numFmtId="0" fontId="1" fillId="0" borderId="0" xfId="0" applyFont="1" applyFill="1" applyAlignment="1">
      <alignment vertical="center"/>
    </xf>
    <xf numFmtId="0" fontId="1" fillId="0" borderId="0" xfId="0" applyFont="1" applyFill="1"/>
    <xf numFmtId="0" fontId="1" fillId="0" borderId="0" xfId="0" applyFon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9"/>
  <sheetViews>
    <sheetView tabSelected="1" workbookViewId="0">
      <selection activeCell="G15" sqref="G15"/>
    </sheetView>
  </sheetViews>
  <sheetFormatPr defaultColWidth="9" defaultRowHeight="13.5" outlineLevelCol="5"/>
  <cols>
    <col min="1" max="1" width="16.1333333333333" customWidth="1"/>
  </cols>
  <sheetData>
    <row r="1" ht="14.25" spans="1:6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1" t="s">
        <v>5</v>
      </c>
    </row>
    <row r="2" spans="1:6">
      <c r="A2" s="4" t="s">
        <v>6</v>
      </c>
      <c r="B2" s="2" t="s">
        <v>7</v>
      </c>
      <c r="C2" s="1" t="s">
        <v>8</v>
      </c>
      <c r="D2" s="5">
        <v>29</v>
      </c>
      <c r="E2" s="5">
        <v>55</v>
      </c>
      <c r="F2" s="1" t="s">
        <v>9</v>
      </c>
    </row>
    <row r="3" spans="1:6">
      <c r="A3" s="4" t="s">
        <v>10</v>
      </c>
      <c r="B3" s="2" t="s">
        <v>7</v>
      </c>
      <c r="C3" s="1" t="s">
        <v>8</v>
      </c>
      <c r="D3" s="5">
        <v>28</v>
      </c>
      <c r="E3" s="5">
        <v>368</v>
      </c>
      <c r="F3" s="1" t="s">
        <v>9</v>
      </c>
    </row>
    <row r="4" spans="1:6">
      <c r="A4" s="4" t="s">
        <v>11</v>
      </c>
      <c r="B4" s="2" t="s">
        <v>7</v>
      </c>
      <c r="C4" s="1" t="s">
        <v>8</v>
      </c>
      <c r="D4" s="1">
        <v>117</v>
      </c>
      <c r="E4" s="1">
        <v>450</v>
      </c>
      <c r="F4" s="1" t="s">
        <v>9</v>
      </c>
    </row>
    <row r="5" spans="1:6">
      <c r="A5" s="4" t="s">
        <v>11</v>
      </c>
      <c r="B5" s="2" t="s">
        <v>7</v>
      </c>
      <c r="C5" s="1" t="s">
        <v>12</v>
      </c>
      <c r="D5" s="1">
        <f>145+240</f>
        <v>385</v>
      </c>
      <c r="E5" s="1">
        <f>558+924</f>
        <v>1482</v>
      </c>
      <c r="F5" s="1" t="s">
        <v>9</v>
      </c>
    </row>
    <row r="6" spans="1:6">
      <c r="A6" s="4" t="s">
        <v>13</v>
      </c>
      <c r="B6" s="2" t="s">
        <v>14</v>
      </c>
      <c r="C6" s="1" t="s">
        <v>8</v>
      </c>
      <c r="D6" s="5">
        <v>70</v>
      </c>
      <c r="E6" s="5">
        <v>341</v>
      </c>
      <c r="F6" s="1" t="s">
        <v>9</v>
      </c>
    </row>
    <row r="7" spans="1:6">
      <c r="A7" s="4" t="s">
        <v>13</v>
      </c>
      <c r="B7" s="2" t="s">
        <v>14</v>
      </c>
      <c r="C7" s="1" t="s">
        <v>12</v>
      </c>
      <c r="D7" s="5">
        <v>34</v>
      </c>
      <c r="E7" s="5">
        <v>659</v>
      </c>
      <c r="F7" s="1" t="s">
        <v>9</v>
      </c>
    </row>
    <row r="8" spans="1:6">
      <c r="A8" s="4" t="s">
        <v>15</v>
      </c>
      <c r="B8" s="2" t="s">
        <v>7</v>
      </c>
      <c r="C8" s="1" t="s">
        <v>12</v>
      </c>
      <c r="D8" s="5">
        <f>4+1+11</f>
        <v>16</v>
      </c>
      <c r="E8" s="5">
        <f>97+24+88+63</f>
        <v>272</v>
      </c>
      <c r="F8" s="1" t="s">
        <v>9</v>
      </c>
    </row>
    <row r="9" spans="1:6">
      <c r="A9" s="4" t="s">
        <v>16</v>
      </c>
      <c r="B9" s="2" t="s">
        <v>14</v>
      </c>
      <c r="C9" s="1" t="s">
        <v>8</v>
      </c>
      <c r="D9" s="5">
        <v>62</v>
      </c>
      <c r="E9" s="5">
        <v>400</v>
      </c>
      <c r="F9" s="1" t="s">
        <v>9</v>
      </c>
    </row>
    <row r="10" spans="1:6">
      <c r="A10" s="4" t="s">
        <v>17</v>
      </c>
      <c r="B10" s="2" t="s">
        <v>14</v>
      </c>
      <c r="C10" s="1" t="s">
        <v>8</v>
      </c>
      <c r="D10" s="5">
        <v>20</v>
      </c>
      <c r="E10" s="5">
        <v>397</v>
      </c>
      <c r="F10" s="1" t="s">
        <v>9</v>
      </c>
    </row>
    <row r="11" spans="1:6">
      <c r="A11" s="1" t="s">
        <v>18</v>
      </c>
      <c r="B11" s="2" t="s">
        <v>7</v>
      </c>
      <c r="C11" s="1" t="s">
        <v>8</v>
      </c>
      <c r="D11" s="5">
        <v>49</v>
      </c>
      <c r="E11" s="5">
        <v>983</v>
      </c>
      <c r="F11" s="1" t="s">
        <v>9</v>
      </c>
    </row>
    <row r="12" spans="1:6">
      <c r="A12" s="1" t="s">
        <v>19</v>
      </c>
      <c r="B12" s="2" t="s">
        <v>7</v>
      </c>
      <c r="C12" s="1" t="s">
        <v>12</v>
      </c>
      <c r="D12" s="5">
        <v>14</v>
      </c>
      <c r="E12" s="5">
        <v>598</v>
      </c>
      <c r="F12" s="1" t="s">
        <v>9</v>
      </c>
    </row>
    <row r="13" spans="1:6">
      <c r="A13" s="1" t="s">
        <v>19</v>
      </c>
      <c r="B13" s="2" t="s">
        <v>7</v>
      </c>
      <c r="C13" s="1" t="s">
        <v>8</v>
      </c>
      <c r="D13" s="5">
        <v>64</v>
      </c>
      <c r="E13" s="5">
        <v>325</v>
      </c>
      <c r="F13" s="1" t="s">
        <v>9</v>
      </c>
    </row>
    <row r="14" spans="1:6">
      <c r="A14" s="1" t="s">
        <v>20</v>
      </c>
      <c r="B14" s="2" t="s">
        <v>7</v>
      </c>
      <c r="C14" s="1" t="s">
        <v>8</v>
      </c>
      <c r="D14" s="5">
        <v>24</v>
      </c>
      <c r="E14" s="5">
        <v>40</v>
      </c>
      <c r="F14" s="1" t="s">
        <v>9</v>
      </c>
    </row>
    <row r="15" spans="1:6">
      <c r="A15" s="1" t="s">
        <v>21</v>
      </c>
      <c r="B15" s="2" t="s">
        <v>7</v>
      </c>
      <c r="C15" s="1" t="s">
        <v>8</v>
      </c>
      <c r="D15" s="5">
        <v>19</v>
      </c>
      <c r="E15" s="5">
        <v>108</v>
      </c>
      <c r="F15" s="1" t="s">
        <v>9</v>
      </c>
    </row>
    <row r="16" spans="1:6">
      <c r="A16" s="1" t="s">
        <v>21</v>
      </c>
      <c r="B16" s="2" t="s">
        <v>7</v>
      </c>
      <c r="C16" s="1" t="s">
        <v>12</v>
      </c>
      <c r="D16" s="5">
        <v>32</v>
      </c>
      <c r="E16" s="5">
        <v>481</v>
      </c>
      <c r="F16" s="1" t="s">
        <v>9</v>
      </c>
    </row>
    <row r="17" spans="1:6">
      <c r="A17" s="1" t="s">
        <v>22</v>
      </c>
      <c r="B17" s="2" t="s">
        <v>14</v>
      </c>
      <c r="C17" s="1" t="s">
        <v>12</v>
      </c>
      <c r="D17" s="5">
        <v>22</v>
      </c>
      <c r="E17" s="5">
        <v>411</v>
      </c>
      <c r="F17" s="1" t="s">
        <v>9</v>
      </c>
    </row>
    <row r="18" spans="1:6">
      <c r="A18" s="1" t="s">
        <v>23</v>
      </c>
      <c r="B18" s="2" t="s">
        <v>14</v>
      </c>
      <c r="C18" s="1" t="s">
        <v>8</v>
      </c>
      <c r="D18" s="5">
        <v>0</v>
      </c>
      <c r="E18" s="5">
        <v>177</v>
      </c>
      <c r="F18" s="1" t="s">
        <v>9</v>
      </c>
    </row>
    <row r="19" spans="1:6">
      <c r="A19" s="4" t="s">
        <v>24</v>
      </c>
      <c r="B19" s="2" t="s">
        <v>7</v>
      </c>
      <c r="C19" s="1" t="s">
        <v>12</v>
      </c>
      <c r="D19" s="5">
        <f>0+1+1</f>
        <v>2</v>
      </c>
      <c r="E19" s="5">
        <f>40+40+40+40+40+40+40</f>
        <v>280</v>
      </c>
      <c r="F19" s="1" t="s">
        <v>9</v>
      </c>
    </row>
    <row r="20" spans="1:6">
      <c r="A20" s="4" t="s">
        <v>25</v>
      </c>
      <c r="B20" s="2" t="s">
        <v>7</v>
      </c>
      <c r="C20" s="1" t="s">
        <v>8</v>
      </c>
      <c r="D20" s="5">
        <f>9+0+2+13</f>
        <v>24</v>
      </c>
      <c r="E20" s="5">
        <f>120+40+32+132</f>
        <v>324</v>
      </c>
      <c r="F20" s="1" t="s">
        <v>9</v>
      </c>
    </row>
    <row r="21" spans="1:6">
      <c r="A21" s="1" t="s">
        <v>26</v>
      </c>
      <c r="B21" s="2" t="s">
        <v>7</v>
      </c>
      <c r="C21" s="1" t="s">
        <v>8</v>
      </c>
      <c r="D21" s="5">
        <f>47+57</f>
        <v>104</v>
      </c>
      <c r="E21" s="5">
        <f>147+209</f>
        <v>356</v>
      </c>
      <c r="F21" s="1" t="s">
        <v>9</v>
      </c>
    </row>
    <row r="22" spans="1:6">
      <c r="A22" s="1" t="s">
        <v>27</v>
      </c>
      <c r="B22" s="2" t="s">
        <v>14</v>
      </c>
      <c r="C22" s="1" t="s">
        <v>12</v>
      </c>
      <c r="D22" s="5">
        <v>82</v>
      </c>
      <c r="E22" s="5">
        <v>265</v>
      </c>
      <c r="F22" s="1" t="s">
        <v>9</v>
      </c>
    </row>
    <row r="23" spans="1:6">
      <c r="A23" s="6" t="s">
        <v>28</v>
      </c>
      <c r="B23" s="2" t="s">
        <v>14</v>
      </c>
      <c r="C23" s="1" t="s">
        <v>12</v>
      </c>
      <c r="D23" s="5">
        <v>71</v>
      </c>
      <c r="E23" s="5">
        <v>1768</v>
      </c>
      <c r="F23" s="1" t="s">
        <v>9</v>
      </c>
    </row>
    <row r="24" spans="1:6">
      <c r="A24" s="4" t="s">
        <v>29</v>
      </c>
      <c r="B24" s="2" t="s">
        <v>7</v>
      </c>
      <c r="C24" s="1" t="s">
        <v>12</v>
      </c>
      <c r="D24" s="5">
        <v>141</v>
      </c>
      <c r="E24" s="5">
        <v>358</v>
      </c>
      <c r="F24" s="1" t="s">
        <v>9</v>
      </c>
    </row>
    <row r="25" spans="1:6">
      <c r="A25" s="4" t="s">
        <v>29</v>
      </c>
      <c r="B25" s="2" t="s">
        <v>7</v>
      </c>
      <c r="C25" s="1" t="s">
        <v>8</v>
      </c>
      <c r="D25" s="5">
        <v>4</v>
      </c>
      <c r="E25" s="5">
        <v>12</v>
      </c>
      <c r="F25" s="1" t="s">
        <v>9</v>
      </c>
    </row>
    <row r="26" spans="1:6">
      <c r="A26" s="4" t="s">
        <v>30</v>
      </c>
      <c r="B26" s="2" t="s">
        <v>14</v>
      </c>
      <c r="C26" s="1" t="s">
        <v>8</v>
      </c>
      <c r="D26" s="5">
        <v>17</v>
      </c>
      <c r="E26" s="5">
        <v>1011</v>
      </c>
      <c r="F26" s="1" t="s">
        <v>9</v>
      </c>
    </row>
    <row r="27" spans="1:6">
      <c r="A27" s="4" t="s">
        <v>31</v>
      </c>
      <c r="B27" s="2" t="s">
        <v>14</v>
      </c>
      <c r="C27" s="1" t="s">
        <v>8</v>
      </c>
      <c r="D27" s="5">
        <v>112</v>
      </c>
      <c r="E27" s="5">
        <v>715</v>
      </c>
      <c r="F27" s="1" t="s">
        <v>9</v>
      </c>
    </row>
    <row r="28" spans="1:6">
      <c r="A28" s="4" t="s">
        <v>31</v>
      </c>
      <c r="B28" s="2" t="s">
        <v>14</v>
      </c>
      <c r="C28" s="1" t="s">
        <v>12</v>
      </c>
      <c r="D28" s="5">
        <f>0+1+17+1+4</f>
        <v>23</v>
      </c>
      <c r="E28" s="5">
        <f>11+32+240+81+61+72+76</f>
        <v>573</v>
      </c>
      <c r="F28" s="1" t="s">
        <v>9</v>
      </c>
    </row>
    <row r="29" spans="1:6">
      <c r="A29" s="1" t="s">
        <v>32</v>
      </c>
      <c r="B29" s="2" t="s">
        <v>7</v>
      </c>
      <c r="C29" s="1" t="s">
        <v>12</v>
      </c>
      <c r="D29" s="7">
        <f>7+40</f>
        <v>47</v>
      </c>
      <c r="E29" s="7">
        <f>158+569</f>
        <v>727</v>
      </c>
      <c r="F29" s="1" t="s">
        <v>9</v>
      </c>
    </row>
    <row r="30" spans="1:6">
      <c r="A30" s="1" t="s">
        <v>32</v>
      </c>
      <c r="B30" s="2" t="s">
        <v>7</v>
      </c>
      <c r="C30" s="1" t="s">
        <v>8</v>
      </c>
      <c r="D30" s="5">
        <v>86</v>
      </c>
      <c r="E30" s="5">
        <v>324</v>
      </c>
      <c r="F30" s="1" t="s">
        <v>9</v>
      </c>
    </row>
    <row r="31" spans="1:6">
      <c r="A31" s="1" t="s">
        <v>33</v>
      </c>
      <c r="B31" s="2" t="s">
        <v>7</v>
      </c>
      <c r="C31" s="1" t="s">
        <v>12</v>
      </c>
      <c r="D31" s="5">
        <v>25</v>
      </c>
      <c r="E31" s="5">
        <v>883</v>
      </c>
      <c r="F31" s="1" t="s">
        <v>9</v>
      </c>
    </row>
    <row r="32" spans="1:6">
      <c r="A32" s="1" t="s">
        <v>33</v>
      </c>
      <c r="B32" s="2" t="s">
        <v>7</v>
      </c>
      <c r="C32" s="1" t="s">
        <v>8</v>
      </c>
      <c r="D32" s="5">
        <v>32</v>
      </c>
      <c r="E32" s="5">
        <v>236</v>
      </c>
      <c r="F32" s="1" t="s">
        <v>9</v>
      </c>
    </row>
    <row r="33" spans="1:6">
      <c r="A33" s="1" t="s">
        <v>34</v>
      </c>
      <c r="B33" s="2" t="s">
        <v>14</v>
      </c>
      <c r="C33" s="1" t="s">
        <v>8</v>
      </c>
      <c r="D33" s="1">
        <v>183</v>
      </c>
      <c r="E33" s="1">
        <v>1396</v>
      </c>
      <c r="F33" s="1" t="s">
        <v>9</v>
      </c>
    </row>
    <row r="34" spans="1:6">
      <c r="A34" s="2" t="s">
        <v>35</v>
      </c>
      <c r="B34" s="2" t="s">
        <v>7</v>
      </c>
      <c r="C34" s="1" t="s">
        <v>8</v>
      </c>
      <c r="D34" s="5">
        <f>0</f>
        <v>0</v>
      </c>
      <c r="E34" s="5">
        <f>8+2+9</f>
        <v>19</v>
      </c>
      <c r="F34" s="1" t="s">
        <v>9</v>
      </c>
    </row>
    <row r="35" spans="1:6">
      <c r="A35" s="2" t="s">
        <v>35</v>
      </c>
      <c r="B35" s="2" t="s">
        <v>7</v>
      </c>
      <c r="C35" s="1" t="s">
        <v>12</v>
      </c>
      <c r="D35" s="5">
        <f>0+3+1</f>
        <v>4</v>
      </c>
      <c r="E35" s="5">
        <f>13+102+99+53+112+1+18+78+23</f>
        <v>499</v>
      </c>
      <c r="F35" s="1" t="s">
        <v>9</v>
      </c>
    </row>
    <row r="36" spans="1:6">
      <c r="A36" s="1" t="s">
        <v>36</v>
      </c>
      <c r="B36" s="2" t="s">
        <v>7</v>
      </c>
      <c r="C36" s="1" t="s">
        <v>8</v>
      </c>
      <c r="D36" s="5">
        <f>1+23+0+10</f>
        <v>34</v>
      </c>
      <c r="E36" s="5">
        <f>101+87+84+171</f>
        <v>443</v>
      </c>
      <c r="F36" s="1" t="s">
        <v>9</v>
      </c>
    </row>
    <row r="37" spans="1:6">
      <c r="A37" s="4" t="s">
        <v>37</v>
      </c>
      <c r="B37" s="2" t="s">
        <v>7</v>
      </c>
      <c r="C37" s="1" t="s">
        <v>8</v>
      </c>
      <c r="D37" s="5">
        <f>36+5+26</f>
        <v>67</v>
      </c>
      <c r="E37" s="5">
        <f>145+111+105</f>
        <v>361</v>
      </c>
      <c r="F37" s="1" t="s">
        <v>9</v>
      </c>
    </row>
    <row r="38" spans="1:6">
      <c r="A38" s="4" t="s">
        <v>37</v>
      </c>
      <c r="B38" s="2" t="s">
        <v>7</v>
      </c>
      <c r="C38" s="1" t="s">
        <v>12</v>
      </c>
      <c r="D38" s="5">
        <f>2+2+8</f>
        <v>12</v>
      </c>
      <c r="E38" s="5">
        <f>135+111+148</f>
        <v>394</v>
      </c>
      <c r="F38" s="1" t="s">
        <v>9</v>
      </c>
    </row>
    <row r="39" spans="1:6">
      <c r="A39" s="1" t="s">
        <v>38</v>
      </c>
      <c r="B39" s="2" t="s">
        <v>7</v>
      </c>
      <c r="C39" s="1" t="s">
        <v>8</v>
      </c>
      <c r="D39" s="1">
        <f>27+18+14+9+21+11</f>
        <v>100</v>
      </c>
      <c r="E39" s="5">
        <f>73+101+97+91+94+139</f>
        <v>595</v>
      </c>
      <c r="F39" s="1" t="s">
        <v>9</v>
      </c>
    </row>
  </sheetData>
  <autoFilter xmlns:etc="http://www.wps.cn/officeDocument/2017/etCustomData" ref="A1:F39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Hasahya</dc:creator>
  <cp:lastModifiedBy>emmanuel hasahya</cp:lastModifiedBy>
  <dcterms:created xsi:type="dcterms:W3CDTF">2026-09-22T12:05:00Z</dcterms:created>
  <dcterms:modified xsi:type="dcterms:W3CDTF">2026-10-23T06:49:20Z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558E52B16567424B98BE90EEAF67FA31_12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